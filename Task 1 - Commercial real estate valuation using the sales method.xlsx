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946D449A-B152-480A-98E5-8805E19E3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approach" sheetId="1" r:id="rId1"/>
    <sheet name="Costar adjustment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OOWpw4mFHHeSQS9ryFqDBkaRBNg=="/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G30" i="1"/>
  <c r="G29" i="1"/>
  <c r="D29" i="1"/>
  <c r="H29" i="1" s="1"/>
  <c r="G28" i="1"/>
  <c r="D28" i="1"/>
  <c r="H28" i="1" s="1"/>
  <c r="G27" i="1"/>
  <c r="D27" i="1"/>
  <c r="H27" i="1" s="1"/>
  <c r="H30" i="1" s="1"/>
  <c r="H11" i="1"/>
  <c r="F11" i="1"/>
  <c r="D11" i="1"/>
  <c r="H13" i="1" l="1"/>
  <c r="H15" i="1" s="1"/>
  <c r="F13" i="1"/>
  <c r="F15" i="1" s="1"/>
  <c r="D13" i="1"/>
  <c r="D15" i="1" s="1"/>
  <c r="F19" i="1" l="1"/>
  <c r="F21" i="1" s="1"/>
  <c r="D19" i="1"/>
  <c r="D21" i="1" s="1"/>
  <c r="H20" i="1"/>
  <c r="H19" i="1"/>
  <c r="H21" i="1" s="1"/>
</calcChain>
</file>

<file path=xl/sharedStrings.xml><?xml version="1.0" encoding="utf-8"?>
<sst xmlns="http://schemas.openxmlformats.org/spreadsheetml/2006/main" count="62" uniqueCount="50">
  <si>
    <t>Sales Comparison Approach</t>
  </si>
  <si>
    <t>Paseo Collier Grand Hotel</t>
  </si>
  <si>
    <t>Paseo Lee Resort</t>
  </si>
  <si>
    <t>Paseo Royal Palms</t>
  </si>
  <si>
    <t>Age of hotel (yrs.)</t>
  </si>
  <si>
    <t>Condition of property</t>
  </si>
  <si>
    <t>A</t>
  </si>
  <si>
    <t>B</t>
  </si>
  <si>
    <t>C</t>
  </si>
  <si>
    <t>Number of rooms:</t>
  </si>
  <si>
    <t>suites</t>
  </si>
  <si>
    <t>standard</t>
  </si>
  <si>
    <t>total</t>
  </si>
  <si>
    <t>CoStar  multiplier, price per room</t>
  </si>
  <si>
    <t>Sales method  value</t>
  </si>
  <si>
    <t>Adjustments:</t>
  </si>
  <si>
    <t>Property age adjustments</t>
  </si>
  <si>
    <t>Adjusted value, sales approach</t>
  </si>
  <si>
    <t>CoStar comparable data</t>
  </si>
  <si>
    <t>Sales price</t>
  </si>
  <si>
    <t>Total standard rooms</t>
  </si>
  <si>
    <t>Total suites</t>
  </si>
  <si>
    <t>Total rooms</t>
  </si>
  <si>
    <t>Sales price per room</t>
  </si>
  <si>
    <t>Transaction 1</t>
  </si>
  <si>
    <t>Transaction 2</t>
  </si>
  <si>
    <t>Transaction 3</t>
  </si>
  <si>
    <t>average</t>
  </si>
  <si>
    <t>CoStar data - total room adjustments</t>
  </si>
  <si>
    <t xml:space="preserve">Number of Rooms -suites </t>
  </si>
  <si>
    <t>Average Sales Price ($/room)</t>
  </si>
  <si>
    <t>Number of Rooms - standard</t>
  </si>
  <si>
    <t>Less than 50</t>
  </si>
  <si>
    <t>50 - 100</t>
  </si>
  <si>
    <t>100 - 150</t>
  </si>
  <si>
    <t>101 - 150</t>
  </si>
  <si>
    <t>151 - 200</t>
  </si>
  <si>
    <t>201- 300</t>
  </si>
  <si>
    <t>201 - 300</t>
  </si>
  <si>
    <t>301 - 400</t>
  </si>
  <si>
    <t>401 or more</t>
  </si>
  <si>
    <t>CoStar data - adjustments</t>
  </si>
  <si>
    <t>increase/decrease to value</t>
  </si>
  <si>
    <t>+125%</t>
  </si>
  <si>
    <t>+5%</t>
  </si>
  <si>
    <t>-50%</t>
  </si>
  <si>
    <t>Age of property</t>
  </si>
  <si>
    <t>0-20</t>
  </si>
  <si>
    <t>21-40</t>
  </si>
  <si>
    <t>over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</si>
</sst>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000000"/>
      <name val="Arial"/>
    </font>
    <font>
      <sz val="10"/>
      <color theme="1"/>
      <name val="Calibri"/>
    </font>
    <font>
      <u/>
      <sz val="11"/>
      <color theme="1"/>
      <name val="Calibri"/>
    </font>
    <font>
      <sz val="11"/>
      <color rgb="FF000000"/>
      <name val="Calibri"/>
    </font>
    <font>
      <b/>
      <sz val="10"/>
      <color rgb="FF000000"/>
      <name val="Calibri"/>
    </font>
    <font>
      <b/>
      <sz val="13"/>
      <color theme="1"/>
      <name val="Calibri"/>
    </font>
    <font>
      <sz val="11"/>
      <color theme="1"/>
      <name val="Söhne"/>
    </font>
    <font>
      <sz val="11"/>
      <color rgb="FF000000"/>
      <name val="Söhne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CECF1"/>
        <bgColor rgb="FFECECF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0" xfId="0" applyNumberFormat="1" applyFont="1"/>
    <xf numFmtId="164" fontId="1" fillId="0" borderId="1" xfId="0" applyNumberFormat="1" applyFont="1" applyBorder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164" fontId="1" fillId="2" borderId="3" xfId="0" applyNumberFormat="1" applyFont="1" applyFill="1" applyBorder="1"/>
    <xf numFmtId="165" fontId="3" fillId="0" borderId="4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/>
    <xf numFmtId="165" fontId="1" fillId="0" borderId="0" xfId="0" applyNumberFormat="1" applyFont="1"/>
    <xf numFmtId="165" fontId="3" fillId="2" borderId="3" xfId="0" applyNumberFormat="1" applyFont="1" applyFill="1" applyBorder="1" applyAlignment="1">
      <alignment horizontal="right"/>
    </xf>
    <xf numFmtId="165" fontId="1" fillId="2" borderId="3" xfId="0" applyNumberFormat="1" applyFont="1" applyFill="1" applyBorder="1"/>
    <xf numFmtId="164" fontId="5" fillId="0" borderId="0" xfId="0" applyNumberFormat="1" applyFont="1"/>
    <xf numFmtId="165" fontId="3" fillId="0" borderId="5" xfId="0" applyNumberFormat="1" applyFont="1" applyBorder="1" applyAlignment="1">
      <alignment horizontal="right"/>
    </xf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1" fillId="0" borderId="2" xfId="0" applyNumberFormat="1" applyFont="1" applyBorder="1"/>
    <xf numFmtId="0" fontId="1" fillId="0" borderId="0" xfId="0" applyFont="1"/>
    <xf numFmtId="0" fontId="7" fillId="0" borderId="0" xfId="0" applyFont="1"/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left"/>
    </xf>
    <xf numFmtId="166" fontId="9" fillId="2" borderId="8" xfId="0" applyNumberFormat="1" applyFont="1" applyFill="1" applyBorder="1" applyAlignment="1">
      <alignment horizontal="left"/>
    </xf>
    <xf numFmtId="166" fontId="9" fillId="2" borderId="9" xfId="0" applyNumberFormat="1" applyFont="1" applyFill="1" applyBorder="1" applyAlignment="1">
      <alignment horizontal="left"/>
    </xf>
    <xf numFmtId="0" fontId="1" fillId="0" borderId="0" xfId="0" quotePrefix="1" applyFont="1"/>
    <xf numFmtId="0" fontId="1" fillId="2" borderId="3" xfId="0" applyFont="1" applyFill="1" applyBorder="1"/>
    <xf numFmtId="9" fontId="1" fillId="2" borderId="3" xfId="0" applyNumberFormat="1" applyFont="1" applyFill="1" applyBorder="1"/>
    <xf numFmtId="164" fontId="2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9"/>
  <sheetViews>
    <sheetView tabSelected="1" workbookViewId="0"/>
  </sheetViews>
  <sheetFormatPr defaultColWidth="14.44140625" defaultRowHeight="15" customHeight="1"/>
  <cols>
    <col min="1" max="1" width="2.109375" customWidth="1"/>
    <col min="2" max="2" width="28.88671875" customWidth="1"/>
    <col min="3" max="3" width="15" customWidth="1"/>
    <col min="4" max="4" width="19.88671875" customWidth="1"/>
    <col min="5" max="5" width="18.5546875" customWidth="1"/>
    <col min="6" max="6" width="20.88671875" customWidth="1"/>
    <col min="7" max="7" width="11.33203125" customWidth="1"/>
    <col min="8" max="8" width="22.109375" customWidth="1"/>
    <col min="9" max="26" width="12.6640625" customWidth="1"/>
  </cols>
  <sheetData>
    <row r="1" spans="1:26" ht="15.75" customHeight="1">
      <c r="A1" s="1"/>
      <c r="B1" s="1"/>
      <c r="C1" s="1"/>
      <c r="D1" s="30" t="s">
        <v>0</v>
      </c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2" t="s">
        <v>1</v>
      </c>
      <c r="E3" s="1"/>
      <c r="F3" s="2" t="s">
        <v>2</v>
      </c>
      <c r="G3" s="1"/>
      <c r="H3" s="2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 t="s">
        <v>4</v>
      </c>
      <c r="C5" s="1"/>
      <c r="D5" s="3">
        <v>20</v>
      </c>
      <c r="E5" s="3"/>
      <c r="F5" s="3">
        <v>15</v>
      </c>
      <c r="G5" s="3"/>
      <c r="H5" s="3">
        <v>50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 t="s">
        <v>5</v>
      </c>
      <c r="C6" s="1"/>
      <c r="D6" s="3" t="s">
        <v>6</v>
      </c>
      <c r="E6" s="3"/>
      <c r="F6" s="3" t="s">
        <v>7</v>
      </c>
      <c r="G6" s="3"/>
      <c r="H6" s="3" t="s">
        <v>8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3"/>
      <c r="E7" s="3"/>
      <c r="F7" s="3"/>
      <c r="G7" s="3"/>
      <c r="H7" s="3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 t="s">
        <v>9</v>
      </c>
      <c r="C8" s="1"/>
      <c r="D8" s="3"/>
      <c r="E8" s="3"/>
      <c r="F8" s="3"/>
      <c r="G8" s="3"/>
      <c r="H8" s="3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 t="s">
        <v>10</v>
      </c>
      <c r="C9" s="1"/>
      <c r="D9" s="3">
        <v>50</v>
      </c>
      <c r="E9" s="5"/>
      <c r="F9" s="5">
        <v>25</v>
      </c>
      <c r="G9" s="5"/>
      <c r="H9" s="3">
        <v>150</v>
      </c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 t="s">
        <v>11</v>
      </c>
      <c r="C10" s="1"/>
      <c r="D10" s="3">
        <v>200</v>
      </c>
      <c r="E10" s="3"/>
      <c r="F10" s="3">
        <v>150</v>
      </c>
      <c r="G10" s="3"/>
      <c r="H10" s="3">
        <v>375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12</v>
      </c>
      <c r="C11" s="1"/>
      <c r="D11" s="6">
        <f>SUM(D9:D10)</f>
        <v>250</v>
      </c>
      <c r="E11" s="3"/>
      <c r="F11" s="6">
        <f>SUM(F9:F10)</f>
        <v>175</v>
      </c>
      <c r="G11" s="3"/>
      <c r="H11" s="6">
        <f>SUM(H9:H10)</f>
        <v>525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 t="s">
        <v>13</v>
      </c>
      <c r="C13" s="1"/>
      <c r="D13" s="7">
        <f>H30</f>
        <v>218106.45586297763</v>
      </c>
      <c r="E13" s="8"/>
      <c r="F13" s="8">
        <f>H30</f>
        <v>218106.45586297763</v>
      </c>
      <c r="G13" s="8"/>
      <c r="H13" s="8">
        <f>H30</f>
        <v>218106.45586297763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7"/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 t="s">
        <v>14</v>
      </c>
      <c r="C15" s="1"/>
      <c r="D15" s="9">
        <f>D11*D13</f>
        <v>54526613.965744406</v>
      </c>
      <c r="E15" s="10"/>
      <c r="F15" s="9">
        <f>F11*F13</f>
        <v>38168629.776021086</v>
      </c>
      <c r="G15" s="10"/>
      <c r="H15" s="9">
        <f>H11*H13</f>
        <v>114505889.32806325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1" t="s">
        <v>15</v>
      </c>
      <c r="C17" s="1"/>
      <c r="D17" s="10"/>
      <c r="E17" s="12"/>
      <c r="F17" s="12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8"/>
      <c r="C18" s="8"/>
      <c r="D18" s="13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 t="s">
        <v>5</v>
      </c>
      <c r="C19" s="1"/>
      <c r="D19" s="13">
        <f>D15*125%</f>
        <v>68158267.4571805</v>
      </c>
      <c r="E19" s="13"/>
      <c r="F19" s="13">
        <f>F15*'Costar adjustment data'!D18</f>
        <v>1908431.4888010544</v>
      </c>
      <c r="G19" s="13"/>
      <c r="H19" s="13">
        <f>H15*'Costar adjustment data'!D18</f>
        <v>5725294.466403163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 t="s">
        <v>16</v>
      </c>
      <c r="C20" s="1"/>
      <c r="D20" s="13">
        <v>0</v>
      </c>
      <c r="E20" s="14"/>
      <c r="F20" s="14"/>
      <c r="G20" s="14"/>
      <c r="H20" s="14">
        <f>H15*-0.5</f>
        <v>-57252944.664031625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5" t="s">
        <v>17</v>
      </c>
      <c r="C21" s="1"/>
      <c r="D21" s="16">
        <f>SUM(D15:D20)</f>
        <v>122684881.42292491</v>
      </c>
      <c r="E21" s="10"/>
      <c r="F21" s="16">
        <f>SUM(F15:F20)</f>
        <v>40077061.26482214</v>
      </c>
      <c r="G21" s="10"/>
      <c r="H21" s="16">
        <f>SUM(H15:H20)</f>
        <v>62978239.130434781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7" t="s">
        <v>18</v>
      </c>
      <c r="C25" s="17"/>
      <c r="D25" s="18" t="s">
        <v>19</v>
      </c>
      <c r="E25" s="18" t="s">
        <v>20</v>
      </c>
      <c r="F25" s="18" t="s">
        <v>21</v>
      </c>
      <c r="G25" s="18" t="s">
        <v>22</v>
      </c>
      <c r="H25" s="18" t="s">
        <v>23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7"/>
      <c r="F26" s="8"/>
      <c r="G26" s="8"/>
      <c r="H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 t="s">
        <v>24</v>
      </c>
      <c r="C27" s="1"/>
      <c r="D27" s="1">
        <f>(E27*225000)+(F27*155000)</f>
        <v>71750000</v>
      </c>
      <c r="E27" s="1">
        <v>250</v>
      </c>
      <c r="F27" s="8">
        <v>100</v>
      </c>
      <c r="G27" s="8">
        <f t="shared" ref="G27:G29" si="0">E27+F27</f>
        <v>350</v>
      </c>
      <c r="H27" s="8">
        <f t="shared" ref="H27:H29" si="1">D27/G27</f>
        <v>205000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 t="s">
        <v>25</v>
      </c>
      <c r="C28" s="1"/>
      <c r="D28" s="1">
        <f>(E28*205000)+(F28*155900)</f>
        <v>102930000</v>
      </c>
      <c r="E28" s="1">
        <v>350</v>
      </c>
      <c r="F28" s="8">
        <v>200</v>
      </c>
      <c r="G28" s="8">
        <f t="shared" si="0"/>
        <v>550</v>
      </c>
      <c r="H28" s="8">
        <f t="shared" si="1"/>
        <v>187145.45454545456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 t="s">
        <v>26</v>
      </c>
      <c r="C29" s="1"/>
      <c r="D29" s="1">
        <f>(E29*300000)+(F29*155000)</f>
        <v>301500000</v>
      </c>
      <c r="E29" s="1">
        <v>850</v>
      </c>
      <c r="F29" s="8">
        <v>300</v>
      </c>
      <c r="G29" s="8">
        <f t="shared" si="0"/>
        <v>1150</v>
      </c>
      <c r="H29" s="8">
        <f t="shared" si="1"/>
        <v>262173.91304347827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 t="s">
        <v>27</v>
      </c>
      <c r="D30" s="1"/>
      <c r="E30" s="1"/>
      <c r="F30" s="1"/>
      <c r="G30" s="19">
        <f t="shared" ref="G30:H30" si="2">AVERAGE(G27:G29)</f>
        <v>683.33333333333337</v>
      </c>
      <c r="H30" s="19">
        <f t="shared" si="2"/>
        <v>218106.45586297763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D1:H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F30"/>
  <sheetViews>
    <sheetView workbookViewId="0"/>
  </sheetViews>
  <sheetFormatPr defaultColWidth="14.44140625" defaultRowHeight="15" customHeight="1"/>
  <cols>
    <col min="2" max="2" width="35.109375" customWidth="1"/>
    <col min="3" max="4" width="32.33203125" customWidth="1"/>
    <col min="5" max="5" width="33.44140625" customWidth="1"/>
  </cols>
  <sheetData>
    <row r="2" spans="2:5" ht="15" customHeight="1">
      <c r="C2" s="20"/>
      <c r="D2" s="21" t="s">
        <v>28</v>
      </c>
    </row>
    <row r="4" spans="2:5" ht="14.4">
      <c r="B4" s="22" t="s">
        <v>29</v>
      </c>
      <c r="C4" s="22" t="s">
        <v>30</v>
      </c>
      <c r="D4" s="22" t="s">
        <v>31</v>
      </c>
      <c r="E4" s="23" t="s">
        <v>30</v>
      </c>
    </row>
    <row r="5" spans="2:5" ht="14.4">
      <c r="B5" s="24" t="s">
        <v>32</v>
      </c>
      <c r="C5" s="25">
        <f t="shared" ref="C5:C11" si="0">E5*1.25</f>
        <v>125000</v>
      </c>
      <c r="D5" s="24" t="s">
        <v>32</v>
      </c>
      <c r="E5" s="26">
        <v>100000</v>
      </c>
    </row>
    <row r="6" spans="2:5" ht="14.4">
      <c r="B6" s="24" t="s">
        <v>33</v>
      </c>
      <c r="C6" s="25">
        <f t="shared" si="0"/>
        <v>156250</v>
      </c>
      <c r="D6" s="24" t="s">
        <v>33</v>
      </c>
      <c r="E6" s="26">
        <v>125000</v>
      </c>
    </row>
    <row r="7" spans="2:5" ht="14.4">
      <c r="B7" s="24" t="s">
        <v>34</v>
      </c>
      <c r="C7" s="25">
        <f t="shared" si="0"/>
        <v>187500</v>
      </c>
      <c r="D7" s="24" t="s">
        <v>35</v>
      </c>
      <c r="E7" s="26">
        <v>150000</v>
      </c>
    </row>
    <row r="8" spans="2:5" ht="14.4">
      <c r="B8" s="24" t="s">
        <v>36</v>
      </c>
      <c r="C8" s="25">
        <f t="shared" si="0"/>
        <v>250000</v>
      </c>
      <c r="D8" s="24" t="s">
        <v>36</v>
      </c>
      <c r="E8" s="26">
        <v>200000</v>
      </c>
    </row>
    <row r="9" spans="2:5" ht="14.4">
      <c r="B9" s="24" t="s">
        <v>37</v>
      </c>
      <c r="C9" s="25">
        <f t="shared" si="0"/>
        <v>312500</v>
      </c>
      <c r="D9" s="24" t="s">
        <v>38</v>
      </c>
      <c r="E9" s="26">
        <v>250000</v>
      </c>
    </row>
    <row r="10" spans="2:5" ht="14.4">
      <c r="B10" s="24" t="s">
        <v>39</v>
      </c>
      <c r="C10" s="25">
        <f t="shared" si="0"/>
        <v>375000</v>
      </c>
      <c r="D10" s="24" t="s">
        <v>39</v>
      </c>
      <c r="E10" s="26">
        <v>300000</v>
      </c>
    </row>
    <row r="11" spans="2:5" ht="14.4">
      <c r="B11" s="24" t="s">
        <v>40</v>
      </c>
      <c r="C11" s="25">
        <f t="shared" si="0"/>
        <v>437500</v>
      </c>
      <c r="D11" s="24" t="s">
        <v>40</v>
      </c>
      <c r="E11" s="26">
        <v>350000</v>
      </c>
    </row>
    <row r="14" spans="2:5" ht="15" customHeight="1">
      <c r="D14" s="21" t="s">
        <v>41</v>
      </c>
    </row>
    <row r="16" spans="2:5" ht="14.4">
      <c r="B16" s="22" t="s">
        <v>5</v>
      </c>
      <c r="C16" s="22"/>
      <c r="D16" s="22" t="s">
        <v>42</v>
      </c>
    </row>
    <row r="17" spans="2:6" ht="14.4">
      <c r="B17" s="20" t="s">
        <v>6</v>
      </c>
      <c r="D17" s="27" t="s">
        <v>43</v>
      </c>
    </row>
    <row r="18" spans="2:6" ht="14.4">
      <c r="B18" s="20" t="s">
        <v>7</v>
      </c>
      <c r="D18" s="27" t="s">
        <v>44</v>
      </c>
    </row>
    <row r="19" spans="2:6" ht="14.4">
      <c r="B19" s="20" t="s">
        <v>8</v>
      </c>
      <c r="D19" s="27" t="s">
        <v>45</v>
      </c>
    </row>
    <row r="23" spans="2:6" ht="14.4">
      <c r="B23" s="1"/>
      <c r="C23" s="1"/>
      <c r="D23" s="1"/>
      <c r="E23" s="1"/>
      <c r="F23" s="1"/>
    </row>
    <row r="24" spans="2:6" ht="14.4">
      <c r="B24" s="22" t="s">
        <v>46</v>
      </c>
      <c r="C24" s="22"/>
      <c r="D24" s="22" t="s">
        <v>42</v>
      </c>
      <c r="E24" s="1"/>
      <c r="F24" s="1"/>
    </row>
    <row r="25" spans="2:6" ht="14.4">
      <c r="B25" s="1"/>
      <c r="C25" s="1"/>
      <c r="D25" s="1"/>
      <c r="E25" s="1"/>
      <c r="F25" s="1"/>
    </row>
    <row r="26" spans="2:6" ht="14.4">
      <c r="B26" s="1" t="s">
        <v>47</v>
      </c>
      <c r="C26" s="1"/>
      <c r="D26" s="8">
        <v>0</v>
      </c>
      <c r="E26" s="28"/>
      <c r="F26" s="8"/>
    </row>
    <row r="27" spans="2:6" ht="14.4">
      <c r="B27" s="1" t="s">
        <v>48</v>
      </c>
      <c r="C27" s="1"/>
      <c r="D27" s="29">
        <v>-0.2</v>
      </c>
      <c r="E27" s="28"/>
      <c r="F27" s="8"/>
    </row>
    <row r="28" spans="2:6" ht="14.4">
      <c r="B28" s="1" t="s">
        <v>49</v>
      </c>
      <c r="C28" s="1"/>
      <c r="D28" s="29">
        <v>-0.5</v>
      </c>
      <c r="E28" s="28"/>
      <c r="F28" s="8"/>
    </row>
    <row r="29" spans="2:6" ht="14.4">
      <c r="B29" s="1"/>
      <c r="C29" s="1"/>
      <c r="D29" s="1"/>
      <c r="E29" s="1"/>
      <c r="F29" s="1"/>
    </row>
    <row r="30" spans="2:6" ht="14.4">
      <c r="B30" s="1"/>
      <c r="C30" s="1"/>
      <c r="D30" s="1"/>
      <c r="E30" s="1"/>
      <c r="F3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approach</vt:lpstr>
      <vt:lpstr>Costar adjustment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Barrus</dc:creator>
  <cp:lastModifiedBy>Shaghayegh Haghbin [sdwh6702]</cp:lastModifiedBy>
  <dcterms:created xsi:type="dcterms:W3CDTF">2023-03-06T00:31:03Z</dcterms:created>
  <dcterms:modified xsi:type="dcterms:W3CDTF">2025-05-03T12:40:28Z</dcterms:modified>
</cp:coreProperties>
</file>